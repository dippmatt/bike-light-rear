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matthias\Documents\bike-light-rear\"/>
    </mc:Choice>
  </mc:AlternateContent>
  <xr:revisionPtr revIDLastSave="0" documentId="13_ncr:1_{49FEA58E-AF7B-46FA-941B-CF1DE93138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3" i="1" s="1"/>
  <c r="B25" i="1" s="1"/>
</calcChain>
</file>

<file path=xl/sharedStrings.xml><?xml version="1.0" encoding="utf-8"?>
<sst xmlns="http://schemas.openxmlformats.org/spreadsheetml/2006/main" count="24" uniqueCount="24">
  <si>
    <t>Column1</t>
  </si>
  <si>
    <t>Part</t>
  </si>
  <si>
    <t>Notes</t>
  </si>
  <si>
    <t>Cost per piece</t>
  </si>
  <si>
    <t>Pieces</t>
  </si>
  <si>
    <t>Total Cost</t>
  </si>
  <si>
    <t>PCB @ 10 pcs</t>
  </si>
  <si>
    <t>Cost [€]</t>
  </si>
  <si>
    <t>USB4105-GF-A-060</t>
  </si>
  <si>
    <t>Economic PCBA Assembly @ 10 pcs</t>
  </si>
  <si>
    <t>Per pcs costs</t>
  </si>
  <si>
    <t>One-time costs</t>
  </si>
  <si>
    <t>PCB Shipping</t>
  </si>
  <si>
    <t>USBLC6-2SC6</t>
  </si>
  <si>
    <t>453-00039R</t>
  </si>
  <si>
    <t>Vapcell 18350</t>
  </si>
  <si>
    <t>PAM2804AAB010</t>
  </si>
  <si>
    <t>XPEBRD-L1-0000-00801</t>
  </si>
  <si>
    <t>LIS3DHTR</t>
  </si>
  <si>
    <t>OPT3001DNPR</t>
  </si>
  <si>
    <t>Parts Excluded from BOM (excl. TAX)</t>
  </si>
  <si>
    <t>Tariffs (JLCPCB)</t>
  </si>
  <si>
    <t>TAX (Digikey)</t>
  </si>
  <si>
    <t>Price for Only 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</si>
</sst>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91565-3E65-491E-8B51-D2493D3B4F75}" name="Table1" displayName="Table1" ref="A1:D21" totalsRowShown="0">
  <autoFilter ref="A1:D21" xr:uid="{09791565-3E65-491E-8B51-D2493D3B4F75}"/>
  <tableColumns count="4">
    <tableColumn id="1" xr3:uid="{DFA6CD68-B3F8-42FC-A359-F7B13E89418C}" name="Part"/>
    <tableColumn id="2" xr3:uid="{3D3D20C8-D623-4D3E-8865-00F8495F65B1}" name="Cost [€]"/>
    <tableColumn id="3" xr3:uid="{C1CC1EC6-F104-4BF6-B7E2-6C18EE3342BE}" name="Column1"/>
    <tableColumn id="4" xr3:uid="{7DEEAFF8-F762-44A4-BF05-46C28B1868E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E2" sqref="E2"/>
    </sheetView>
  </sheetViews>
  <sheetFormatPr defaultRowHeight="14.25" x14ac:dyDescent="0.45"/>
  <cols>
    <col min="1" max="1" width="31.86328125" customWidth="1"/>
    <col min="2" max="3" width="10.1328125" customWidth="1"/>
    <col min="4" max="4" width="17.06640625" customWidth="1"/>
  </cols>
  <sheetData>
    <row r="1" spans="1:4" x14ac:dyDescent="0.45">
      <c r="A1" t="s">
        <v>1</v>
      </c>
      <c r="B1" t="s">
        <v>7</v>
      </c>
      <c r="C1" t="s">
        <v>0</v>
      </c>
      <c r="D1" t="s">
        <v>2</v>
      </c>
    </row>
    <row r="2" spans="1:4" x14ac:dyDescent="0.45">
      <c r="A2" s="1" t="s">
        <v>10</v>
      </c>
    </row>
    <row r="3" spans="1:4" x14ac:dyDescent="0.45">
      <c r="A3" t="s">
        <v>6</v>
      </c>
      <c r="B3">
        <v>0.434</v>
      </c>
    </row>
    <row r="4" spans="1:4" x14ac:dyDescent="0.45">
      <c r="A4" t="s">
        <v>9</v>
      </c>
      <c r="B4">
        <v>2.6619999999999999</v>
      </c>
    </row>
    <row r="6" spans="1:4" x14ac:dyDescent="0.45">
      <c r="A6" s="1" t="s">
        <v>20</v>
      </c>
    </row>
    <row r="7" spans="1:4" x14ac:dyDescent="0.45">
      <c r="A7" t="s">
        <v>8</v>
      </c>
      <c r="B7">
        <v>0.56899999999999995</v>
      </c>
    </row>
    <row r="8" spans="1:4" x14ac:dyDescent="0.45">
      <c r="A8" t="s">
        <v>13</v>
      </c>
      <c r="B8">
        <v>0.21</v>
      </c>
    </row>
    <row r="9" spans="1:4" x14ac:dyDescent="0.45">
      <c r="A9" t="s">
        <v>14</v>
      </c>
      <c r="B9">
        <v>3.71</v>
      </c>
      <c r="D9" t="s">
        <v>23</v>
      </c>
    </row>
    <row r="10" spans="1:4" x14ac:dyDescent="0.45">
      <c r="A10" t="s">
        <v>15</v>
      </c>
      <c r="B10">
        <v>5.27</v>
      </c>
    </row>
    <row r="11" spans="1:4" x14ac:dyDescent="0.45">
      <c r="A11" t="s">
        <v>16</v>
      </c>
      <c r="B11">
        <v>0.29699999999999999</v>
      </c>
    </row>
    <row r="12" spans="1:4" x14ac:dyDescent="0.45">
      <c r="A12" t="s">
        <v>17</v>
      </c>
      <c r="B12">
        <v>1.4930000000000001</v>
      </c>
    </row>
    <row r="13" spans="1:4" x14ac:dyDescent="0.45">
      <c r="A13" t="s">
        <v>18</v>
      </c>
      <c r="B13">
        <v>1.0860000000000001</v>
      </c>
    </row>
    <row r="14" spans="1:4" x14ac:dyDescent="0.45">
      <c r="A14" t="s">
        <v>19</v>
      </c>
      <c r="B14">
        <v>1.6759999999999999</v>
      </c>
    </row>
    <row r="16" spans="1:4" x14ac:dyDescent="0.45">
      <c r="A16" s="1" t="s">
        <v>11</v>
      </c>
    </row>
    <row r="17" spans="1:2" x14ac:dyDescent="0.45">
      <c r="A17" t="s">
        <v>12</v>
      </c>
      <c r="B17">
        <v>8.68</v>
      </c>
    </row>
    <row r="18" spans="1:2" x14ac:dyDescent="0.45">
      <c r="A18" t="s">
        <v>21</v>
      </c>
      <c r="B18">
        <v>7.93</v>
      </c>
    </row>
    <row r="19" spans="1:2" x14ac:dyDescent="0.45">
      <c r="A19" t="s">
        <v>22</v>
      </c>
      <c r="B19">
        <f>SUM(B7:B15)*B24*0.2</f>
        <v>28.622000000000003</v>
      </c>
    </row>
    <row r="23" spans="1:2" x14ac:dyDescent="0.45">
      <c r="A23" t="s">
        <v>3</v>
      </c>
      <c r="B23">
        <f>SUM(B3:B15)+SUM(B17:B21)/B24</f>
        <v>21.930199999999999</v>
      </c>
    </row>
    <row r="24" spans="1:2" x14ac:dyDescent="0.45">
      <c r="A24" t="s">
        <v>4</v>
      </c>
      <c r="B24">
        <v>10</v>
      </c>
    </row>
    <row r="25" spans="1:2" x14ac:dyDescent="0.45">
      <c r="A25" t="s">
        <v>5</v>
      </c>
      <c r="B25">
        <f>B23*B24</f>
        <v>219.30199999999999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Dippold</dc:creator>
  <cp:lastModifiedBy>Dippold, Matthias</cp:lastModifiedBy>
  <dcterms:created xsi:type="dcterms:W3CDTF">2015-06-05T18:17:20Z</dcterms:created>
  <dcterms:modified xsi:type="dcterms:W3CDTF">2025-11-20T16:18:58Z</dcterms:modified>
</cp:coreProperties>
</file>